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xity Rubric" sheetId="1" r:id="rId5"/>
    <sheet state="visible" name="Comparison Report" sheetId="2" r:id="rId6"/>
  </sheets>
  <definedNames/>
  <calcPr/>
</workbook>
</file>

<file path=xl/sharedStrings.xml><?xml version="1.0" encoding="utf-8"?>
<sst xmlns="http://schemas.openxmlformats.org/spreadsheetml/2006/main" count="57" uniqueCount="50">
  <si>
    <t>Test Case Complexity Scoring Rubric</t>
  </si>
  <si>
    <t>Manual (self-scripted in Katalon Studio) vs AI-assisted (Claude Code) test case authoring</t>
  </si>
  <si>
    <t>Complexity</t>
  </si>
  <si>
    <t>Points</t>
  </si>
  <si>
    <t>Typical shape (from actual Katalon scripts reviewed)</t>
  </si>
  <si>
    <t>Example test case(s)</t>
  </si>
  <si>
    <t>Simple</t>
  </si>
  <si>
    <t>1</t>
  </si>
  <si>
    <t>3-6 script steps, 1-2 page objects, no conditional branching, single screen (e.g. a settings toggle, a single balance/UI check)</t>
  </si>
  <si>
    <t>e.g. CheckInputOTPPasswordSettings</t>
  </si>
  <si>
    <t>Medium</t>
  </si>
  <si>
    <t>2</t>
  </si>
  <si>
    <t>10-15 steps, 3-5 page objects, minimal/no branching, one straight-line transfer flow (Login -&gt; enter data -&gt; confirm -&gt; authorize -&gt; status -&gt; notification -&gt; history)</t>
  </si>
  <si>
    <t>Self Transfer (Monetary); 3rd Party Transfer (Open)</t>
  </si>
  <si>
    <t>High</t>
  </si>
  <si>
    <t>3</t>
  </si>
  <si>
    <t>15-20 steps, 5-8 page objects, 1-2 conditional branches (e.g. favourite vs new, special-case amount), multiple verification stages (status + share receipt + favourites + notification + history)</t>
  </si>
  <si>
    <t>DuitNow Transfer (Proxy); Zakat</t>
  </si>
  <si>
    <t>Very High</t>
  </si>
  <si>
    <t>5</t>
  </si>
  <si>
    <t>25+ steps, 8+ page objects, multiple conditional branches, multi-screen wizard-style data entry (sender details / recipient bank / recipient / transfer details / confirm / T&amp;C)</t>
  </si>
  <si>
    <t>FTT Overseas Transfer</t>
  </si>
  <si>
    <t>Note on classification source:</t>
  </si>
  <si>
    <t>Self Transfer, 3rd Party Transfer and FTT Overseas Transfer complexity levels were specified by the user directly. DuitNow Transfer and Zakat were classified by Claude by counting actual steps/page-objects/branches in the reference Katalon scripts read during this session - please review and adjust in the 'Comparison Report' sheet if you disagree.</t>
  </si>
  <si>
    <t>Automation Scripting vs AI-Assisted (Claude Code) Scripting - Time Comparison</t>
  </si>
  <si>
    <t>Katalon MAE Regression Pack | Fill in the yellow cells (hours) as each test case is completed</t>
  </si>
  <si>
    <t>No.</t>
  </si>
  <si>
    <t>Module</t>
  </si>
  <si>
    <t>Test Case Name</t>
  </si>
  <si>
    <t>Automation Scripting (Minutes)</t>
  </si>
  <si>
    <t>AI-Assisted Scripting (Minutes)</t>
  </si>
  <si>
    <t>Execute Testing (Minutes)</t>
  </si>
  <si>
    <t>Time Saved (Minutes)</t>
  </si>
  <si>
    <t>Notes</t>
  </si>
  <si>
    <t>Self Transfer</t>
  </si>
  <si>
    <t>Self Transfer (Common)</t>
  </si>
  <si>
    <t>Own-account transfer: select account -&gt; enter amount -&gt; recipient reference -&gt; confirm -&gt; authorize -&gt; status -&gt; notification -&gt; history. ~7 domain calls, no branching.</t>
  </si>
  <si>
    <t>3rd Party Transfer</t>
  </si>
  <si>
    <t>3rd Party Transfer (Open, Approve)</t>
  </si>
  <si>
    <t>Bank transfer to Others tab: select bank -&gt; account no -&gt; amount -&gt; recipient reference -&gt; confirm -&gt; authorize -&gt; status -&gt; notification. ~7 domain calls, no branching.</t>
  </si>
  <si>
    <t>DuitNow Transfer</t>
  </si>
  <si>
    <t>DuitNow Transfer - Others (Mobile Number)</t>
  </si>
  <si>
    <t>Proxy transfer: choose ID type -&gt; enter proxy number -&gt; amount -&gt; recipient ref -&gt; confirm -&gt; authorize -&gt; status -&gt; share receipt -&gt; add favourite -&gt; notification -&gt; history. ~9 domain calls + 7 tail verification steps, generic authorize() auto-detects TAC/OTP/S2U.</t>
  </si>
  <si>
    <t>Zakat</t>
  </si>
  <si>
    <t>Zakat Payment (Common)</t>
  </si>
  <si>
    <t>2 conditional branches (favourite vs new payment; insufficient-amount special case) + input product map -&gt; mobile number -&gt; amount -&gt; confirm -&gt; authorize -&gt; status -&gt; share receipt -&gt; add favourite -&gt; notification -&gt; balance check. ~8 domain calls with branching.</t>
  </si>
  <si>
    <t>Oversea Transfer</t>
  </si>
  <si>
    <t>FTT (Foreign Telegraphic Transfer) - Open</t>
  </si>
  <si>
    <t>Multi-screen wizard: debiting account -&gt; amount -&gt; currency -&gt; transfer type -&gt; sender details -&gt; recipient details -&gt; recipient bank details -&gt; transfer details -&gt; confirmation -&gt; T&amp;C -&gt; transfer-from -&gt; authorize -&gt; status -&gt; foreign-currency receipt -&gt; share receipt -&gt; notification. ~29 domain calls across 8+ page objects.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</si>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</sst>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b/>
      <sz val="14.0"/>
      <color rgb="FF1F4E78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double">
        <color rgb="FF1F4E78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vertical="center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6.0"/>
    <col customWidth="1" min="3" max="3" width="9.0"/>
    <col customWidth="1" min="4" max="4" width="62.0"/>
    <col customWidth="1" min="5" max="5" width="34.0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  <c r="E5" s="3" t="s">
        <v>5</v>
      </c>
    </row>
    <row r="6">
      <c r="B6" s="4" t="s">
        <v>6</v>
      </c>
      <c r="C6" s="5" t="s">
        <v>7</v>
      </c>
      <c r="D6" s="6" t="s">
        <v>8</v>
      </c>
      <c r="E6" s="6" t="s">
        <v>9</v>
      </c>
    </row>
    <row r="7">
      <c r="B7" s="4" t="s">
        <v>10</v>
      </c>
      <c r="C7" s="5" t="s">
        <v>11</v>
      </c>
      <c r="D7" s="6" t="s">
        <v>12</v>
      </c>
      <c r="E7" s="6" t="s">
        <v>13</v>
      </c>
    </row>
    <row r="8">
      <c r="B8" s="4" t="s">
        <v>14</v>
      </c>
      <c r="C8" s="5" t="s">
        <v>15</v>
      </c>
      <c r="D8" s="6" t="s">
        <v>16</v>
      </c>
      <c r="E8" s="6" t="s">
        <v>17</v>
      </c>
    </row>
    <row r="9">
      <c r="B9" s="4" t="s">
        <v>18</v>
      </c>
      <c r="C9" s="5" t="s">
        <v>19</v>
      </c>
      <c r="D9" s="6" t="s">
        <v>20</v>
      </c>
      <c r="E9" s="6" t="s">
        <v>21</v>
      </c>
    </row>
    <row r="11">
      <c r="B11" s="7" t="s">
        <v>22</v>
      </c>
    </row>
    <row r="12">
      <c r="B12" s="8" t="s">
        <v>23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12:E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103.29"/>
    <col customWidth="1" min="3" max="3" width="16.0"/>
    <col customWidth="1" min="4" max="4" width="30.0"/>
    <col customWidth="1" min="5" max="5" width="11.0"/>
    <col customWidth="1" min="6" max="6" width="7.0"/>
    <col customWidth="1" min="7" max="7" width="13.0"/>
    <col customWidth="1" min="8" max="8" width="14.0"/>
    <col customWidth="1" min="9" max="9" width="13.0"/>
    <col customWidth="1" min="10" max="10" width="12.0"/>
    <col customWidth="1" min="11" max="11" width="46.0"/>
  </cols>
  <sheetData>
    <row r="2">
      <c r="B2" s="9" t="s">
        <v>24</v>
      </c>
    </row>
    <row r="3">
      <c r="B3" s="2" t="s">
        <v>25</v>
      </c>
    </row>
    <row r="5">
      <c r="B5" s="3" t="s">
        <v>26</v>
      </c>
      <c r="C5" s="3" t="s">
        <v>27</v>
      </c>
      <c r="D5" s="3" t="s">
        <v>28</v>
      </c>
      <c r="E5" s="3" t="s">
        <v>2</v>
      </c>
      <c r="F5" s="3" t="s">
        <v>3</v>
      </c>
      <c r="G5" s="10" t="s">
        <v>29</v>
      </c>
      <c r="H5" s="10" t="s">
        <v>30</v>
      </c>
      <c r="I5" s="10" t="s">
        <v>31</v>
      </c>
      <c r="J5" s="10" t="s">
        <v>32</v>
      </c>
      <c r="K5" s="3" t="s">
        <v>33</v>
      </c>
    </row>
    <row r="6">
      <c r="B6" s="5">
        <v>1.0</v>
      </c>
      <c r="C6" s="6" t="s">
        <v>34</v>
      </c>
      <c r="D6" s="11" t="s">
        <v>35</v>
      </c>
      <c r="E6" s="5" t="s">
        <v>10</v>
      </c>
      <c r="F6" s="5">
        <v>2.0</v>
      </c>
      <c r="G6" s="12">
        <v>120.0</v>
      </c>
      <c r="H6" s="12">
        <v>8.0</v>
      </c>
      <c r="I6" s="13">
        <f t="shared" ref="I6:I10" si="1">F6*240-G6</f>
        <v>360</v>
      </c>
      <c r="J6" s="5">
        <f t="shared" ref="J6:J10" si="2">G6-H6</f>
        <v>112</v>
      </c>
      <c r="K6" s="6" t="s">
        <v>36</v>
      </c>
    </row>
    <row r="7">
      <c r="B7" s="5">
        <v>2.0</v>
      </c>
      <c r="C7" s="6" t="s">
        <v>37</v>
      </c>
      <c r="D7" s="6" t="s">
        <v>38</v>
      </c>
      <c r="E7" s="5" t="s">
        <v>10</v>
      </c>
      <c r="F7" s="5">
        <v>2.0</v>
      </c>
      <c r="G7" s="12">
        <v>120.0</v>
      </c>
      <c r="H7" s="12">
        <v>8.0</v>
      </c>
      <c r="I7" s="13">
        <f t="shared" si="1"/>
        <v>360</v>
      </c>
      <c r="J7" s="5">
        <f t="shared" si="2"/>
        <v>112</v>
      </c>
      <c r="K7" s="6" t="s">
        <v>39</v>
      </c>
    </row>
    <row r="8">
      <c r="B8" s="5">
        <v>3.0</v>
      </c>
      <c r="C8" s="6" t="s">
        <v>40</v>
      </c>
      <c r="D8" s="6" t="s">
        <v>41</v>
      </c>
      <c r="E8" s="5" t="s">
        <v>14</v>
      </c>
      <c r="F8" s="5">
        <v>3.0</v>
      </c>
      <c r="G8" s="12">
        <v>200.0</v>
      </c>
      <c r="H8" s="12">
        <v>15.0</v>
      </c>
      <c r="I8" s="13">
        <f t="shared" si="1"/>
        <v>520</v>
      </c>
      <c r="J8" s="5">
        <f t="shared" si="2"/>
        <v>185</v>
      </c>
      <c r="K8" s="6" t="s">
        <v>42</v>
      </c>
    </row>
    <row r="9">
      <c r="B9" s="5">
        <v>4.0</v>
      </c>
      <c r="C9" s="6" t="s">
        <v>43</v>
      </c>
      <c r="D9" s="6" t="s">
        <v>44</v>
      </c>
      <c r="E9" s="5" t="s">
        <v>14</v>
      </c>
      <c r="F9" s="5">
        <v>3.0</v>
      </c>
      <c r="G9" s="12">
        <v>200.0</v>
      </c>
      <c r="H9" s="12">
        <v>15.0</v>
      </c>
      <c r="I9" s="13">
        <f t="shared" si="1"/>
        <v>520</v>
      </c>
      <c r="J9" s="5">
        <f t="shared" si="2"/>
        <v>185</v>
      </c>
      <c r="K9" s="6" t="s">
        <v>45</v>
      </c>
    </row>
    <row r="10">
      <c r="B10" s="5">
        <v>5.0</v>
      </c>
      <c r="C10" s="6" t="s">
        <v>46</v>
      </c>
      <c r="D10" s="6" t="s">
        <v>47</v>
      </c>
      <c r="E10" s="5" t="s">
        <v>18</v>
      </c>
      <c r="F10" s="5">
        <v>5.0</v>
      </c>
      <c r="G10" s="12">
        <v>500.0</v>
      </c>
      <c r="H10" s="12">
        <v>22.0</v>
      </c>
      <c r="I10" s="13">
        <f t="shared" si="1"/>
        <v>700</v>
      </c>
      <c r="J10" s="5">
        <f t="shared" si="2"/>
        <v>478</v>
      </c>
      <c r="K10" s="6" t="s">
        <v>48</v>
      </c>
    </row>
    <row r="11">
      <c r="C11" s="7" t="s">
        <v>49</v>
      </c>
      <c r="D11" s="7"/>
      <c r="E11" s="7"/>
      <c r="F11" s="7">
        <f>SUM(F6:F10)</f>
        <v>15</v>
      </c>
      <c r="G11" s="14">
        <f>SUM(G6:G10)</f>
        <v>1140</v>
      </c>
      <c r="H11" s="14">
        <f>SUM(H6:H10)</f>
        <v>68</v>
      </c>
      <c r="I11" s="14">
        <f>SUM(I6:I10)</f>
        <v>2460</v>
      </c>
      <c r="J11" s="14">
        <f>SUM(J6:J10)</f>
        <v>1072</v>
      </c>
      <c r="K11" s="14"/>
    </row>
    <row r="13">
      <c r="C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3:H13"/>
  </mergeCells>
  <drawing r:id="rId1"/>
</worksheet>
</file>