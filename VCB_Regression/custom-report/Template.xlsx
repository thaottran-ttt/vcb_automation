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Test Details" sheetId="2" state="visible" r:id="rId4"/>
  </sheets>
  <definedNames>
    <definedName function="false" hidden="false" localSheetId="0" name="_xlnm.Print_Area" vbProcedure="false">'Executive Summary'!$A$1:$N$87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3" authorId="0">
      <text>
        <r>
          <rPr>
            <sz val="10"/>
            <rFont val="Arial"/>
            <family val="2"/>
          </rPr>
          <t xml:space="preserve">Danh sach Module: co the them/sua ten module o cot A. Nho mo rong cong thuc COUNTIFS neu them dong.</t>
        </r>
      </text>
    </comment>
    <comment ref="A20" authorId="0">
      <text>
        <r>
          <rPr>
            <sz val="10"/>
            <rFont val="Arial"/>
            <family val="2"/>
          </rPr>
          <t xml:space="preserve">Danh sach Environment: sua ten cho khop chinh xac voi cot Environment o sheet Test Details (phan biet chu hoa/thuong khong quan trong nhung phai giong tuyet doi ve chuoi).</t>
        </r>
      </text>
    </comment>
    <comment ref="A27" authorId="0">
      <text>
        <r>
          <rPr>
            <sz val="10"/>
            <rFont val="Arial"/>
            <family val="2"/>
          </rPr>
          <t xml:space="preserve">Tu dong lay 10 Test Case FAILED dau tien (theo thu tu xuat hien) tu sheet Test Details, dua vao cot FailRank (J). Khong sua cong thuc.</t>
        </r>
      </text>
    </comment>
    <comment ref="L11" authorId="0">
      <text>
        <r>
          <rPr>
            <sz val="10"/>
            <rFont val="Arial"/>
            <family val="2"/>
          </rPr>
          <t xml:space="preserve">Du lieu ho tro cho bieu do tron. Khong xoa.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Dinh dang TEXT. Test case chay lai (retry) dung so thap phan: 1, 1.1, 1.2...
Dong cuoi cung cua moi Test Case ID phai mang Status THAT (PASSED/FAILED/BLOCKED).
Cac dong truoc do (neu co retry) mang Status = RETRY.</t>
        </r>
      </text>
    </comment>
    <comment ref="F1" authorId="0">
      <text>
        <r>
          <rPr>
            <sz val="10"/>
            <rFont val="Arial"/>
            <family val="2"/>
          </rPr>
          <t xml:space="preserve">Gia tri hop le: PASSED, FAILED, BLOCKED, RETRY.
RETRY = ket qua tam thoi cua 1 lan chay se duoc thu lai, KHONG tinh vao KPI Pass/Fail/Blocked.</t>
        </r>
      </text>
    </comment>
    <comment ref="J1" authorId="0">
      <text>
        <r>
          <rPr>
            <sz val="10"/>
            <rFont val="Arial"/>
            <family val="2"/>
          </rPr>
          <t xml:space="preserve">Cot ho tro cho bang Top Failures o sheet Executive Summary. KHONG XOA, KHONG SUA.</t>
        </r>
      </text>
    </comment>
  </commentList>
</comments>
</file>

<file path=xl/sharedStrings.xml><?xml version="1.0" encoding="utf-8"?>
<sst xmlns="http://schemas.openxmlformats.org/spreadsheetml/2006/main" count="130" uniqueCount="86">
  <si>
    <t xml:space="preserve">BANK TEST AUTOMATION REPORT</t>
  </si>
  <si>
    <t xml:space="preserve">Project Name:</t>
  </si>
  <si>
    <t xml:space="preserve">Core Banking Automation Test</t>
  </si>
  <si>
    <t xml:space="preserve">App Version:</t>
  </si>
  <si>
    <t xml:space="preserve">R2026.09.01</t>
  </si>
  <si>
    <t xml:space="preserve">Execution Date:</t>
  </si>
  <si>
    <t xml:space="preserve">2026-09-07</t>
  </si>
  <si>
    <t xml:space="preserve">Environment:</t>
  </si>
  <si>
    <t xml:space="preserve">UAT</t>
  </si>
  <si>
    <t xml:space="preserve">Triggered By (CI Job):</t>
  </si>
  <si>
    <t xml:space="preserve">Jenkins - nightly-regression-#128</t>
  </si>
  <si>
    <t xml:space="preserve">KEY METRICS</t>
  </si>
  <si>
    <t xml:space="preserve">TOTAL TESTS</t>
  </si>
  <si>
    <t xml:space="preserve">PASSED</t>
  </si>
  <si>
    <t xml:space="preserve">FAILED</t>
  </si>
  <si>
    <t xml:space="preserve">BLOCKED</t>
  </si>
  <si>
    <t xml:space="preserve">RETRIES</t>
  </si>
  <si>
    <t xml:space="preserve">PASS RATE</t>
  </si>
  <si>
    <t xml:space="preserve">MODULE BREAKDOWN</t>
  </si>
  <si>
    <t xml:space="preserve">Status</t>
  </si>
  <si>
    <t xml:space="preserve">Count</t>
  </si>
  <si>
    <t xml:space="preserve">Module</t>
  </si>
  <si>
    <t xml:space="preserve">Total</t>
  </si>
  <si>
    <t xml:space="preserve">Pass</t>
  </si>
  <si>
    <t xml:space="preserve">Fail</t>
  </si>
  <si>
    <t xml:space="preserve">Blocked</t>
  </si>
  <si>
    <t xml:space="preserve">Pass Rate</t>
  </si>
  <si>
    <t xml:space="preserve">Passed</t>
  </si>
  <si>
    <t xml:space="preserve">Authentication</t>
  </si>
  <si>
    <t xml:space="preserve">Failed</t>
  </si>
  <si>
    <t xml:space="preserve">Transfer</t>
  </si>
  <si>
    <t xml:space="preserve">Cards</t>
  </si>
  <si>
    <t xml:space="preserve">Savings</t>
  </si>
  <si>
    <t xml:space="preserve">ENVIRONMENT COVERAGE</t>
  </si>
  <si>
    <t xml:space="preserve">Environment (OS / Browser)</t>
  </si>
  <si>
    <t xml:space="preserve">Windows10/Chrome120</t>
  </si>
  <si>
    <t xml:space="preserve">Windows10/Firefox115</t>
  </si>
  <si>
    <t xml:space="preserve">macOS/Safari17</t>
  </si>
  <si>
    <t xml:space="preserve">Linux/Chrome120</t>
  </si>
  <si>
    <t xml:space="preserve">TOP FAILURES (toi da 10, chi tinh Status = FAILED)</t>
  </si>
  <si>
    <t xml:space="preserve">Test Case ID</t>
  </si>
  <si>
    <t xml:space="preserve">Error Message</t>
  </si>
  <si>
    <t xml:space="preserve">Screenshot</t>
  </si>
  <si>
    <t xml:space="preserve">CHARTS</t>
  </si>
  <si>
    <t xml:space="preserve">No.</t>
  </si>
  <si>
    <t xml:space="preserve">Test Description</t>
  </si>
  <si>
    <t xml:space="preserve">Environment</t>
  </si>
  <si>
    <t xml:space="preserve">Execution Time (s)</t>
  </si>
  <si>
    <t xml:space="preserve">Screenshot Path</t>
  </si>
  <si>
    <t xml:space="preserve">FailRank (helper - do not edit)</t>
  </si>
  <si>
    <t xml:space="preserve">LEGEND</t>
  </si>
  <si>
    <t xml:space="preserve">1</t>
  </si>
  <si>
    <t xml:space="preserve">TC_BANK_001</t>
  </si>
  <si>
    <t xml:space="preserve">Xac thuc dang nhap voi tai khoan hop le</t>
  </si>
  <si>
    <t xml:space="preserve">2</t>
  </si>
  <si>
    <t xml:space="preserve">TC_BANK_002</t>
  </si>
  <si>
    <t xml:space="preserve">Dang nhap voi OTP sai</t>
  </si>
  <si>
    <t xml:space="preserve">Khong hien thi thong bao loi OTP</t>
  </si>
  <si>
    <t xml:space="preserve">3</t>
  </si>
  <si>
    <t xml:space="preserve">TC_BANK_003</t>
  </si>
  <si>
    <t xml:space="preserve">Xac thuc chuyen tien NAPAS 24/7</t>
  </si>
  <si>
    <t xml:space="preserve">RETRY</t>
  </si>
  <si>
    <t xml:space="preserve">Timeout 504 from Core Banking API</t>
  </si>
  <si>
    <t xml:space="preserve">3.1</t>
  </si>
  <si>
    <t xml:space="preserve">RETRY (chua phai ket qua cuoi)</t>
  </si>
  <si>
    <t xml:space="preserve">4</t>
  </si>
  <si>
    <t xml:space="preserve">TC_BANK_004</t>
  </si>
  <si>
    <t xml:space="preserve">Khoa the khi mat the</t>
  </si>
  <si>
    <t xml:space="preserve">Dependency TC_BANK_003 chua hoan tat</t>
  </si>
  <si>
    <t xml:space="preserve">5</t>
  </si>
  <si>
    <t xml:space="preserve">TC_BANK_005</t>
  </si>
  <si>
    <t xml:space="preserve">Tinh lai suat tiet kiem ky han 6 thang</t>
  </si>
  <si>
    <t xml:space="preserve">6</t>
  </si>
  <si>
    <t xml:space="preserve">TC_BANK_006</t>
  </si>
  <si>
    <t xml:space="preserve">Chuyen tien vuot han muc ngay</t>
  </si>
  <si>
    <t xml:space="preserve">He thong khong chan giao dich vuot han muc</t>
  </si>
  <si>
    <t xml:space="preserve">7</t>
  </si>
  <si>
    <t xml:space="preserve">TC_BANK_007</t>
  </si>
  <si>
    <t xml:space="preserve">Mo the tin dung online</t>
  </si>
  <si>
    <t xml:space="preserve">8</t>
  </si>
  <si>
    <t xml:space="preserve">TC_BANK_008</t>
  </si>
  <si>
    <t xml:space="preserve">Rut tien tiet kiem truoc han</t>
  </si>
  <si>
    <t xml:space="preserve">9</t>
  </si>
  <si>
    <t xml:space="preserve">TC_BANK_009</t>
  </si>
  <si>
    <t xml:space="preserve">Dang xuat tu dong sau 15 phut khong hoat dong</t>
  </si>
  <si>
    <t xml:space="preserve">Session khong tu dong het han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</si>
</sst>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0%"/>
    <numFmt numFmtId="168" formatCode="@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000000"/>
      <name val="Arial"/>
      <family val="0"/>
      <charset val="1"/>
    </font>
    <font>
      <b val="true"/>
      <sz val="16"/>
      <color rgb="FF006100"/>
      <name val="Arial"/>
      <family val="0"/>
      <charset val="1"/>
    </font>
    <font>
      <b val="true"/>
      <sz val="16"/>
      <color rgb="FF9C0006"/>
      <name val="Arial"/>
      <family val="0"/>
      <charset val="1"/>
    </font>
    <font>
      <b val="true"/>
      <sz val="16"/>
      <color rgb="FF9C6500"/>
      <name val="Arial"/>
      <family val="0"/>
      <charset val="1"/>
    </font>
    <font>
      <b val="true"/>
      <sz val="16"/>
      <color rgb="FF595959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5959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  <fill>
      <patternFill patternType="solid">
        <fgColor rgb="FF2E75B6"/>
        <bgColor rgb="FF4F81BD"/>
      </patternFill>
    </fill>
    <fill>
      <patternFill patternType="solid">
        <fgColor rgb="FFDDEBF7"/>
        <bgColor rgb="FFD9D9D9"/>
      </patternFill>
    </fill>
    <fill>
      <patternFill patternType="solid">
        <fgColor rgb="FFC6EFCE"/>
        <bgColor rgb="FFDDEBF7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D9D9D9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  <color rgb="FF006100"/>
        <sz val="16"/>
      </font>
      <fill>
        <patternFill>
          <bgColor rgb="FFC6EFCE"/>
        </patternFill>
      </fill>
    </dxf>
    <dxf>
      <font>
        <b val="1"/>
        <color rgb="FF9C0006"/>
        <sz val="1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595959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BBB59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Ty le Pass / Fail / Blocked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'Executive Summary'!M11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'Executive Summary'!$L$12:$L$14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Blocked</c:v>
                </c:pt>
              </c:strCache>
            </c:strRef>
          </c:cat>
          <c:val>
            <c:numRef>
              <c:f>'Executive Summary'!$M$12:$M$14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Chat luong theo Module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'Executive Summary'!C12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Summary'!$A$13:$A$16</c:f>
              <c:strCache>
                <c:ptCount val="4"/>
                <c:pt idx="0">
                  <c:v>Authentication</c:v>
                </c:pt>
                <c:pt idx="1">
                  <c:v>Transfer</c:v>
                </c:pt>
                <c:pt idx="2">
                  <c:v>Cards</c:v>
                </c:pt>
                <c:pt idx="3">
                  <c:v>Savings</c:v>
                </c:pt>
              </c:strCache>
            </c:strRef>
          </c:cat>
          <c:val>
            <c:numRef>
              <c:f>'Executive Summary'!$C$13:$C$16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</c:ser>
        <c:ser>
          <c:idx val="1"/>
          <c:order val="1"/>
          <c:tx>
            <c:strRef>
              <c:f>'Executive Summary'!D12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Summary'!$A$13:$A$16</c:f>
              <c:strCache>
                <c:ptCount val="4"/>
                <c:pt idx="0">
                  <c:v>Authentication</c:v>
                </c:pt>
                <c:pt idx="1">
                  <c:v>Transfer</c:v>
                </c:pt>
                <c:pt idx="2">
                  <c:v>Cards</c:v>
                </c:pt>
                <c:pt idx="3">
                  <c:v>Savings</c:v>
                </c:pt>
              </c:strCache>
            </c:strRef>
          </c:cat>
          <c:val>
            <c:numRef>
              <c:f>'Executive Summary'!$D$13:$D$16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'Executive Summary'!E12</c:f>
              <c:strCache>
                <c:ptCount val="1"/>
                <c:pt idx="0">
                  <c:v>Blocked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Summary'!$A$13:$A$16</c:f>
              <c:strCache>
                <c:ptCount val="4"/>
                <c:pt idx="0">
                  <c:v>Authentication</c:v>
                </c:pt>
                <c:pt idx="1">
                  <c:v>Transfer</c:v>
                </c:pt>
                <c:pt idx="2">
                  <c:v>Cards</c:v>
                </c:pt>
                <c:pt idx="3">
                  <c:v>Savings</c:v>
                </c:pt>
              </c:strCache>
            </c:strRef>
          </c:cat>
          <c:val>
            <c:numRef>
              <c:f>'Executive Summary'!$E$13:$E$16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</c:ser>
        <c:gapWidth val="150"/>
        <c:overlap val="100"/>
        <c:axId val="17732370"/>
        <c:axId val="75175512"/>
      </c:barChart>
      <c:catAx>
        <c:axId val="177323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75512"/>
        <c:crosses val="autoZero"/>
        <c:auto val="1"/>
        <c:lblAlgn val="ctr"/>
        <c:lblOffset val="100"/>
        <c:noMultiLvlLbl val="0"/>
      </c:catAx>
      <c:valAx>
        <c:axId val="751755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7323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Pass Rate theo Environment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Summary'!E19</c:f>
              <c:strCache>
                <c:ptCount val="1"/>
                <c:pt idx="0">
                  <c:v>Pass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Summary'!$A$20:$A$23</c:f>
              <c:strCache>
                <c:ptCount val="4"/>
                <c:pt idx="0">
                  <c:v>Windows10/Chrome120</c:v>
                </c:pt>
                <c:pt idx="1">
                  <c:v>Windows10/Firefox115</c:v>
                </c:pt>
                <c:pt idx="2">
                  <c:v>macOS/Safari17</c:v>
                </c:pt>
                <c:pt idx="3">
                  <c:v>Linux/Chrome120</c:v>
                </c:pt>
              </c:strCache>
            </c:strRef>
          </c:cat>
          <c:val>
            <c:numRef>
              <c:f>'Executive Summary'!$E$20:$E$23</c:f>
              <c:numCache>
                <c:formatCode>0.0%</c:formatCode>
                <c:ptCount val="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20093286"/>
        <c:axId val="13720513"/>
      </c:barChart>
      <c:catAx>
        <c:axId val="200932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720513"/>
        <c:crosses val="autoZero"/>
        <c:auto val="1"/>
        <c:lblAlgn val="ctr"/>
        <c:lblOffset val="100"/>
        <c:noMultiLvlLbl val="0"/>
      </c:catAx>
      <c:valAx>
        <c:axId val="137205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0932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33</xdr:row>
      <xdr:rowOff>18720</xdr:rowOff>
    </xdr:from>
    <xdr:to>
      <xdr:col>4</xdr:col>
      <xdr:colOff>528480</xdr:colOff>
      <xdr:row>47</xdr:row>
      <xdr:rowOff>145800</xdr:rowOff>
    </xdr:to>
    <xdr:graphicFrame>
      <xdr:nvGraphicFramePr>
        <xdr:cNvPr id="0" name="Chart 1"/>
        <xdr:cNvGraphicFramePr/>
      </xdr:nvGraphicFramePr>
      <xdr:xfrm>
        <a:off x="0" y="80103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48</xdr:row>
      <xdr:rowOff>123840</xdr:rowOff>
    </xdr:from>
    <xdr:to>
      <xdr:col>4</xdr:col>
      <xdr:colOff>528480</xdr:colOff>
      <xdr:row>63</xdr:row>
      <xdr:rowOff>145800</xdr:rowOff>
    </xdr:to>
    <xdr:graphicFrame>
      <xdr:nvGraphicFramePr>
        <xdr:cNvPr id="1" name="Chart 2"/>
        <xdr:cNvGraphicFramePr/>
      </xdr:nvGraphicFramePr>
      <xdr:xfrm>
        <a:off x="0" y="110584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64</xdr:row>
      <xdr:rowOff>123840</xdr:rowOff>
    </xdr:from>
    <xdr:to>
      <xdr:col>4</xdr:col>
      <xdr:colOff>528480</xdr:colOff>
      <xdr:row>79</xdr:row>
      <xdr:rowOff>146160</xdr:rowOff>
    </xdr:to>
    <xdr:graphicFrame>
      <xdr:nvGraphicFramePr>
        <xdr:cNvPr id="2" name="Chart 3"/>
        <xdr:cNvGraphicFramePr/>
      </xdr:nvGraphicFramePr>
      <xdr:xfrm>
        <a:off x="0" y="141066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10" min="3" style="0" width="14"/>
    <col collapsed="false" customWidth="true" hidden="false" outlineLevel="0" max="11" min="11" style="0" width="2"/>
    <col collapsed="false" customWidth="true" hidden="false" outlineLevel="0" max="16" min="12" style="0" width="1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2" t="s">
        <v>1</v>
      </c>
      <c r="B3" s="3" t="s">
        <v>2</v>
      </c>
      <c r="D3" s="2" t="s">
        <v>3</v>
      </c>
      <c r="E3" s="3" t="s">
        <v>4</v>
      </c>
    </row>
    <row r="4" customFormat="false" ht="15" hidden="false" customHeight="false" outlineLevel="0" collapsed="false">
      <c r="A4" s="2" t="s">
        <v>5</v>
      </c>
      <c r="B4" s="3" t="s">
        <v>6</v>
      </c>
      <c r="D4" s="2" t="s">
        <v>7</v>
      </c>
      <c r="E4" s="3" t="s">
        <v>8</v>
      </c>
    </row>
    <row r="5" customFormat="false" ht="15" hidden="false" customHeight="false" outlineLevel="0" collapsed="false">
      <c r="A5" s="2" t="s">
        <v>9</v>
      </c>
      <c r="B5" s="3" t="s">
        <v>10</v>
      </c>
    </row>
    <row r="7" customFormat="false" ht="21.75" hidden="false" customHeight="true" outlineLevel="0" collapsed="false">
      <c r="A7" s="4" t="s">
        <v>11</v>
      </c>
      <c r="B7" s="4"/>
      <c r="C7" s="4"/>
      <c r="D7" s="4"/>
      <c r="E7" s="4"/>
      <c r="F7" s="4"/>
      <c r="G7" s="4"/>
      <c r="H7" s="4"/>
      <c r="I7" s="4"/>
      <c r="J7" s="4"/>
    </row>
    <row r="8" customFormat="false" ht="15" hidden="false" customHeight="false" outlineLevel="0" collapsed="false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</row>
    <row r="9" customFormat="false" ht="25.5" hidden="false" customHeight="true" outlineLevel="0" collapsed="false">
      <c r="A9" s="6" t="n">
        <f aca="false">COUNTIFS('Test Details'!$F$2:$F$200,"&lt;&gt;RETRY",'Test Details'!$B$2:$B$200,"&lt;&gt;")</f>
        <v>9</v>
      </c>
      <c r="B9" s="7" t="n">
        <f aca="false">COUNTIF('Test Details'!$F$2:$F$200,"PASSED")</f>
        <v>5</v>
      </c>
      <c r="C9" s="8" t="n">
        <f aca="false">COUNTIF('Test Details'!$F$2:$F$200,"FAILED")</f>
        <v>3</v>
      </c>
      <c r="D9" s="9" t="n">
        <f aca="false">COUNTIF('Test Details'!$F$2:$F$200,"BLOCKED")</f>
        <v>1</v>
      </c>
      <c r="E9" s="10" t="n">
        <f aca="false">COUNTIF('Test Details'!$F$2:$F$200,"RETRY")</f>
        <v>1</v>
      </c>
      <c r="F9" s="11" t="n">
        <f aca="false">IFERROR(B9/A9,0)</f>
        <v>0.555555555555556</v>
      </c>
    </row>
    <row r="11" customFormat="false" ht="21.75" hidden="false" customHeight="true" outlineLevel="0" collapsed="false">
      <c r="A11" s="4" t="s">
        <v>18</v>
      </c>
      <c r="B11" s="4"/>
      <c r="C11" s="4"/>
      <c r="D11" s="4"/>
      <c r="E11" s="4"/>
      <c r="L11" s="2" t="s">
        <v>19</v>
      </c>
      <c r="M11" s="2" t="s">
        <v>20</v>
      </c>
    </row>
    <row r="12" customFormat="false" ht="15" hidden="false" customHeight="false" outlineLevel="0" collapsed="false">
      <c r="A12" s="5" t="s">
        <v>21</v>
      </c>
      <c r="B12" s="5" t="s">
        <v>22</v>
      </c>
      <c r="C12" s="5" t="s">
        <v>23</v>
      </c>
      <c r="D12" s="5" t="s">
        <v>24</v>
      </c>
      <c r="E12" s="5" t="s">
        <v>25</v>
      </c>
      <c r="F12" s="5" t="s">
        <v>26</v>
      </c>
      <c r="L12" s="12" t="s">
        <v>27</v>
      </c>
      <c r="M12" s="12" t="n">
        <f aca="false">B9</f>
        <v>5</v>
      </c>
    </row>
    <row r="13" customFormat="false" ht="15" hidden="false" customHeight="false" outlineLevel="0" collapsed="false">
      <c r="A13" s="13" t="s">
        <v>28</v>
      </c>
      <c r="B13" s="14" t="n">
        <f aca="false">COUNTIFS('Test Details'!$C$2:$C$200,$A13,'Test Details'!$F$2:$F$200,"&lt;&gt;RETRY")</f>
        <v>3</v>
      </c>
      <c r="C13" s="14" t="n">
        <f aca="false">COUNTIFS('Test Details'!$C$2:$C$200,$A13,'Test Details'!$F$2:$F$200,"PASSED")</f>
        <v>1</v>
      </c>
      <c r="D13" s="14" t="n">
        <f aca="false">COUNTIFS('Test Details'!$C$2:$C$200,$A13,'Test Details'!$F$2:$F$200,"FAILED")</f>
        <v>2</v>
      </c>
      <c r="E13" s="14" t="n">
        <f aca="false">COUNTIFS('Test Details'!$C$2:$C$200,$A13,'Test Details'!$F$2:$F$200,"BLOCKED")</f>
        <v>0</v>
      </c>
      <c r="F13" s="15" t="n">
        <f aca="false">IFERROR(C13/B13,0)</f>
        <v>0.333333333333333</v>
      </c>
      <c r="L13" s="12" t="s">
        <v>29</v>
      </c>
      <c r="M13" s="12" t="n">
        <f aca="false">C9</f>
        <v>3</v>
      </c>
    </row>
    <row r="14" customFormat="false" ht="15" hidden="false" customHeight="false" outlineLevel="0" collapsed="false">
      <c r="A14" s="13" t="s">
        <v>30</v>
      </c>
      <c r="B14" s="14" t="n">
        <f aca="false">COUNTIFS('Test Details'!$C$2:$C$200,$A14,'Test Details'!$F$2:$F$200,"&lt;&gt;RETRY")</f>
        <v>2</v>
      </c>
      <c r="C14" s="14" t="n">
        <f aca="false">COUNTIFS('Test Details'!$C$2:$C$200,$A14,'Test Details'!$F$2:$F$200,"PASSED")</f>
        <v>1</v>
      </c>
      <c r="D14" s="14" t="n">
        <f aca="false">COUNTIFS('Test Details'!$C$2:$C$200,$A14,'Test Details'!$F$2:$F$200,"FAILED")</f>
        <v>1</v>
      </c>
      <c r="E14" s="14" t="n">
        <f aca="false">COUNTIFS('Test Details'!$C$2:$C$200,$A14,'Test Details'!$F$2:$F$200,"BLOCKED")</f>
        <v>0</v>
      </c>
      <c r="F14" s="15" t="n">
        <f aca="false">IFERROR(C14/B14,0)</f>
        <v>0.5</v>
      </c>
      <c r="L14" s="12" t="s">
        <v>25</v>
      </c>
      <c r="M14" s="12" t="n">
        <f aca="false">D9</f>
        <v>1</v>
      </c>
    </row>
    <row r="15" customFormat="false" ht="15" hidden="false" customHeight="false" outlineLevel="0" collapsed="false">
      <c r="A15" s="13" t="s">
        <v>31</v>
      </c>
      <c r="B15" s="14" t="n">
        <f aca="false">COUNTIFS('Test Details'!$C$2:$C$200,$A15,'Test Details'!$F$2:$F$200,"&lt;&gt;RETRY")</f>
        <v>2</v>
      </c>
      <c r="C15" s="14" t="n">
        <f aca="false">COUNTIFS('Test Details'!$C$2:$C$200,$A15,'Test Details'!$F$2:$F$200,"PASSED")</f>
        <v>1</v>
      </c>
      <c r="D15" s="14" t="n">
        <f aca="false">COUNTIFS('Test Details'!$C$2:$C$200,$A15,'Test Details'!$F$2:$F$200,"FAILED")</f>
        <v>0</v>
      </c>
      <c r="E15" s="14" t="n">
        <f aca="false">COUNTIFS('Test Details'!$C$2:$C$200,$A15,'Test Details'!$F$2:$F$200,"BLOCKED")</f>
        <v>1</v>
      </c>
      <c r="F15" s="15" t="n">
        <f aca="false">IFERROR(C15/B15,0)</f>
        <v>0.5</v>
      </c>
    </row>
    <row r="16" customFormat="false" ht="15" hidden="false" customHeight="false" outlineLevel="0" collapsed="false">
      <c r="A16" s="13" t="s">
        <v>32</v>
      </c>
      <c r="B16" s="14" t="n">
        <f aca="false">COUNTIFS('Test Details'!$C$2:$C$200,$A16,'Test Details'!$F$2:$F$200,"&lt;&gt;RETRY")</f>
        <v>2</v>
      </c>
      <c r="C16" s="14" t="n">
        <f aca="false">COUNTIFS('Test Details'!$C$2:$C$200,$A16,'Test Details'!$F$2:$F$200,"PASSED")</f>
        <v>2</v>
      </c>
      <c r="D16" s="14" t="n">
        <f aca="false">COUNTIFS('Test Details'!$C$2:$C$200,$A16,'Test Details'!$F$2:$F$200,"FAILED")</f>
        <v>0</v>
      </c>
      <c r="E16" s="14" t="n">
        <f aca="false">COUNTIFS('Test Details'!$C$2:$C$200,$A16,'Test Details'!$F$2:$F$200,"BLOCKED")</f>
        <v>0</v>
      </c>
      <c r="F16" s="15" t="n">
        <f aca="false">IFERROR(C16/B16,0)</f>
        <v>1</v>
      </c>
    </row>
    <row r="18" customFormat="false" ht="21.75" hidden="false" customHeight="true" outlineLevel="0" collapsed="false">
      <c r="A18" s="4" t="s">
        <v>33</v>
      </c>
      <c r="B18" s="4"/>
      <c r="C18" s="4"/>
      <c r="D18" s="4"/>
      <c r="E18" s="4"/>
    </row>
    <row r="19" customFormat="false" ht="15" hidden="false" customHeight="false" outlineLevel="0" collapsed="false">
      <c r="A19" s="5" t="s">
        <v>34</v>
      </c>
      <c r="B19" s="5" t="s">
        <v>22</v>
      </c>
      <c r="C19" s="5" t="s">
        <v>23</v>
      </c>
      <c r="D19" s="5" t="s">
        <v>24</v>
      </c>
      <c r="E19" s="5" t="s">
        <v>26</v>
      </c>
    </row>
    <row r="20" customFormat="false" ht="15" hidden="false" customHeight="false" outlineLevel="0" collapsed="false">
      <c r="A20" s="13" t="s">
        <v>35</v>
      </c>
      <c r="B20" s="14" t="n">
        <f aca="false">COUNTIFS('Test Details'!$E$2:$E$200,$A20,'Test Details'!$F$2:$F$200,"&lt;&gt;RETRY")</f>
        <v>4</v>
      </c>
      <c r="C20" s="14" t="n">
        <f aca="false">COUNTIFS('Test Details'!$E$2:$E$200,$A20,'Test Details'!$F$2:$F$200,"PASSED")</f>
        <v>2</v>
      </c>
      <c r="D20" s="14" t="n">
        <f aca="false">COUNTIFS('Test Details'!$E$2:$E$200,$A20,'Test Details'!$F$2:$F$200,"FAILED")</f>
        <v>2</v>
      </c>
      <c r="E20" s="15" t="n">
        <f aca="false">IFERROR(C20/B20,0)</f>
        <v>0.5</v>
      </c>
    </row>
    <row r="21" customFormat="false" ht="15" hidden="false" customHeight="false" outlineLevel="0" collapsed="false">
      <c r="A21" s="13" t="s">
        <v>36</v>
      </c>
      <c r="B21" s="14" t="n">
        <f aca="false">COUNTIFS('Test Details'!$E$2:$E$200,$A21,'Test Details'!$F$2:$F$200,"&lt;&gt;RETRY")</f>
        <v>2</v>
      </c>
      <c r="C21" s="14" t="n">
        <f aca="false">COUNTIFS('Test Details'!$E$2:$E$200,$A21,'Test Details'!$F$2:$F$200,"PASSED")</f>
        <v>1</v>
      </c>
      <c r="D21" s="14" t="n">
        <f aca="false">COUNTIFS('Test Details'!$E$2:$E$200,$A21,'Test Details'!$F$2:$F$200,"FAILED")</f>
        <v>1</v>
      </c>
      <c r="E21" s="15" t="n">
        <f aca="false">IFERROR(C21/B21,0)</f>
        <v>0.5</v>
      </c>
    </row>
    <row r="22" customFormat="false" ht="15" hidden="false" customHeight="false" outlineLevel="0" collapsed="false">
      <c r="A22" s="13" t="s">
        <v>37</v>
      </c>
      <c r="B22" s="14" t="n">
        <f aca="false">COUNTIFS('Test Details'!$E$2:$E$200,$A22,'Test Details'!$F$2:$F$200,"&lt;&gt;RETRY")</f>
        <v>2</v>
      </c>
      <c r="C22" s="14" t="n">
        <f aca="false">COUNTIFS('Test Details'!$E$2:$E$200,$A22,'Test Details'!$F$2:$F$200,"PASSED")</f>
        <v>1</v>
      </c>
      <c r="D22" s="14" t="n">
        <f aca="false">COUNTIFS('Test Details'!$E$2:$E$200,$A22,'Test Details'!$F$2:$F$200,"FAILED")</f>
        <v>0</v>
      </c>
      <c r="E22" s="15" t="n">
        <f aca="false">IFERROR(C22/B22,0)</f>
        <v>0.5</v>
      </c>
    </row>
    <row r="23" customFormat="false" ht="15" hidden="false" customHeight="false" outlineLevel="0" collapsed="false">
      <c r="A23" s="13" t="s">
        <v>38</v>
      </c>
      <c r="B23" s="14" t="n">
        <f aca="false">COUNTIFS('Test Details'!$E$2:$E$200,$A23,'Test Details'!$F$2:$F$200,"&lt;&gt;RETRY")</f>
        <v>1</v>
      </c>
      <c r="C23" s="14" t="n">
        <f aca="false">COUNTIFS('Test Details'!$E$2:$E$200,$A23,'Test Details'!$F$2:$F$200,"PASSED")</f>
        <v>1</v>
      </c>
      <c r="D23" s="14" t="n">
        <f aca="false">COUNTIFS('Test Details'!$E$2:$E$200,$A23,'Test Details'!$F$2:$F$200,"FAILED")</f>
        <v>0</v>
      </c>
      <c r="E23" s="15" t="n">
        <f aca="false">IFERROR(C23/B23,0)</f>
        <v>1</v>
      </c>
    </row>
    <row r="25" customFormat="false" ht="21.75" hidden="false" customHeight="true" outlineLevel="0" collapsed="false">
      <c r="A25" s="4" t="s">
        <v>39</v>
      </c>
      <c r="B25" s="4"/>
      <c r="C25" s="4"/>
      <c r="D25" s="4"/>
      <c r="E25" s="4"/>
    </row>
    <row r="26" customFormat="false" ht="15" hidden="false" customHeight="false" outlineLevel="0" collapsed="false">
      <c r="A26" s="5" t="s">
        <v>40</v>
      </c>
      <c r="B26" s="5" t="s">
        <v>21</v>
      </c>
      <c r="C26" s="5" t="s">
        <v>41</v>
      </c>
      <c r="D26" s="5" t="s">
        <v>42</v>
      </c>
    </row>
    <row r="27" customFormat="false" ht="41.75" hidden="false" customHeight="false" outlineLevel="0" collapsed="false">
      <c r="A27" s="16" t="str">
        <f aca="false">IFERROR(INDEX('Test Details'!$B$2:$B$200,MATCH(ROWS($B$27:B27),'Test Details'!$J$2:$J$200,0)),"")</f>
        <v>TC_BANK_002</v>
      </c>
      <c r="B27" s="16" t="str">
        <f aca="false">IFERROR(INDEX('Test Details'!$C$2:$C$200,MATCH(ROWS($B$27:B27),'Test Details'!$J$2:$J$200,0)),"")</f>
        <v>Authentication</v>
      </c>
      <c r="C27" s="17" t="str">
        <f aca="false">IFERROR(INDEX('Test Details'!$H$2:$H$200,MATCH(ROWS($B$27:B27),'Test Details'!$J$2:$J$200,0)),"")</f>
        <v>Khong hien thi thong bao loi OTP</v>
      </c>
      <c r="D27" s="16" t="str">
        <f aca="false">IFERROR(INDEX('Test Details'!$I$2:$I$200,MATCH(ROWS($B$27:B27),'Test Details'!$J$2:$J$200,0)),"")</f>
        <v>View Image</v>
      </c>
    </row>
    <row r="28" customFormat="false" ht="41.75" hidden="false" customHeight="false" outlineLevel="0" collapsed="false">
      <c r="A28" s="16" t="str">
        <f aca="false">IFERROR(INDEX('Test Details'!$B$2:$B$200,MATCH(ROWS($B$27:B28),'Test Details'!$J$2:$J$200,0)),"")</f>
        <v>TC_BANK_006</v>
      </c>
      <c r="B28" s="16" t="str">
        <f aca="false">IFERROR(INDEX('Test Details'!$C$2:$C$200,MATCH(ROWS($B$27:B28),'Test Details'!$J$2:$J$200,0)),"")</f>
        <v>Transfer</v>
      </c>
      <c r="C28" s="17" t="str">
        <f aca="false">IFERROR(INDEX('Test Details'!$H$2:$H$200,MATCH(ROWS($B$27:B28),'Test Details'!$J$2:$J$200,0)),"")</f>
        <v>He thong khong chan giao dich vuot han muc</v>
      </c>
      <c r="D28" s="16" t="str">
        <f aca="false">IFERROR(INDEX('Test Details'!$I$2:$I$200,MATCH(ROWS($B$27:B28),'Test Details'!$J$2:$J$200,0)),"")</f>
        <v>View Image</v>
      </c>
    </row>
    <row r="29" customFormat="false" ht="41.75" hidden="false" customHeight="false" outlineLevel="0" collapsed="false">
      <c r="A29" s="16" t="str">
        <f aca="false">IFERROR(INDEX('Test Details'!$B$2:$B$200,MATCH(ROWS($B$27:B29),'Test Details'!$J$2:$J$200,0)),"")</f>
        <v>TC_BANK_009</v>
      </c>
      <c r="B29" s="16" t="str">
        <f aca="false">IFERROR(INDEX('Test Details'!$C$2:$C$200,MATCH(ROWS($B$27:B29),'Test Details'!$J$2:$J$200,0)),"")</f>
        <v>Authentication</v>
      </c>
      <c r="C29" s="17" t="str">
        <f aca="false">IFERROR(INDEX('Test Details'!$H$2:$H$200,MATCH(ROWS($B$27:B29),'Test Details'!$J$2:$J$200,0)),"")</f>
        <v>Session khong tu dong het han</v>
      </c>
      <c r="D29" s="16" t="str">
        <f aca="false">IFERROR(INDEX('Test Details'!$I$2:$I$200,MATCH(ROWS($B$27:B29),'Test Details'!$J$2:$J$200,0)),"")</f>
        <v>View Image</v>
      </c>
    </row>
    <row r="30" customFormat="false" ht="15" hidden="false" customHeight="false" outlineLevel="0" collapsed="false">
      <c r="A30" s="16" t="str">
        <f aca="false">IFERROR(INDEX('Test Details'!$B$2:$B$200,MATCH(ROWS($B$27:B30),'Test Details'!$J$2:$J$200,0)),"")</f>
        <v/>
      </c>
      <c r="B30" s="16" t="str">
        <f aca="false">IFERROR(INDEX('Test Details'!$C$2:$C$200,MATCH(ROWS($B$27:B30),'Test Details'!$J$2:$J$200,0)),"")</f>
        <v/>
      </c>
      <c r="C30" s="17" t="str">
        <f aca="false">IFERROR(INDEX('Test Details'!$H$2:$H$200,MATCH(ROWS($B$27:B30),'Test Details'!$J$2:$J$200,0)),"")</f>
        <v/>
      </c>
      <c r="D30" s="16" t="str">
        <f aca="false">IFERROR(INDEX('Test Details'!$I$2:$I$200,MATCH(ROWS($B$27:B30),'Test Details'!$J$2:$J$200,0)),"")</f>
        <v/>
      </c>
    </row>
    <row r="31" customFormat="false" ht="15" hidden="false" customHeight="false" outlineLevel="0" collapsed="false">
      <c r="A31" s="16" t="str">
        <f aca="false">IFERROR(INDEX('Test Details'!$B$2:$B$200,MATCH(ROWS($B$27:B31),'Test Details'!$J$2:$J$200,0)),"")</f>
        <v/>
      </c>
      <c r="B31" s="16" t="str">
        <f aca="false">IFERROR(INDEX('Test Details'!$C$2:$C$200,MATCH(ROWS($B$27:B31),'Test Details'!$J$2:$J$200,0)),"")</f>
        <v/>
      </c>
      <c r="C31" s="17" t="str">
        <f aca="false">IFERROR(INDEX('Test Details'!$H$2:$H$200,MATCH(ROWS($B$27:B31),'Test Details'!$J$2:$J$200,0)),"")</f>
        <v/>
      </c>
      <c r="D31" s="16" t="str">
        <f aca="false">IFERROR(INDEX('Test Details'!$I$2:$I$200,MATCH(ROWS($B$27:B31),'Test Details'!$J$2:$J$200,0)),"")</f>
        <v/>
      </c>
    </row>
    <row r="32" customFormat="false" ht="15" hidden="false" customHeight="false" outlineLevel="0" collapsed="false">
      <c r="A32" s="16" t="str">
        <f aca="false">IFERROR(INDEX('Test Details'!$B$2:$B$200,MATCH(ROWS($B$27:B32),'Test Details'!$J$2:$J$200,0)),"")</f>
        <v/>
      </c>
      <c r="B32" s="16" t="str">
        <f aca="false">IFERROR(INDEX('Test Details'!$C$2:$C$200,MATCH(ROWS($B$27:B32),'Test Details'!$J$2:$J$200,0)),"")</f>
        <v/>
      </c>
      <c r="C32" s="17" t="str">
        <f aca="false">IFERROR(INDEX('Test Details'!$H$2:$H$200,MATCH(ROWS($B$27:B32),'Test Details'!$J$2:$J$200,0)),"")</f>
        <v/>
      </c>
      <c r="D32" s="16" t="str">
        <f aca="false">IFERROR(INDEX('Test Details'!$I$2:$I$200,MATCH(ROWS($B$27:B32),'Test Details'!$J$2:$J$200,0)),"")</f>
        <v/>
      </c>
    </row>
    <row r="33" customFormat="false" ht="15" hidden="false" customHeight="false" outlineLevel="0" collapsed="false">
      <c r="A33" s="16" t="str">
        <f aca="false">IFERROR(INDEX('Test Details'!$B$2:$B$200,MATCH(ROWS($B$27:B33),'Test Details'!$J$2:$J$200,0)),"")</f>
        <v/>
      </c>
      <c r="B33" s="16" t="str">
        <f aca="false">IFERROR(INDEX('Test Details'!$C$2:$C$200,MATCH(ROWS($B$27:B33),'Test Details'!$J$2:$J$200,0)),"")</f>
        <v/>
      </c>
      <c r="C33" s="17" t="str">
        <f aca="false">IFERROR(INDEX('Test Details'!$H$2:$H$200,MATCH(ROWS($B$27:B33),'Test Details'!$J$2:$J$200,0)),"")</f>
        <v/>
      </c>
      <c r="D33" s="16" t="str">
        <f aca="false">IFERROR(INDEX('Test Details'!$I$2:$I$200,MATCH(ROWS($B$27:B33),'Test Details'!$J$2:$J$200,0)),"")</f>
        <v/>
      </c>
    </row>
    <row r="34" customFormat="false" ht="15" hidden="false" customHeight="false" outlineLevel="0" collapsed="false">
      <c r="A34" s="16" t="str">
        <f aca="false">IFERROR(INDEX('Test Details'!$B$2:$B$200,MATCH(ROWS($B$27:B34),'Test Details'!$J$2:$J$200,0)),"")</f>
        <v/>
      </c>
      <c r="B34" s="16" t="str">
        <f aca="false">IFERROR(INDEX('Test Details'!$C$2:$C$200,MATCH(ROWS($B$27:B34),'Test Details'!$J$2:$J$200,0)),"")</f>
        <v/>
      </c>
      <c r="C34" s="17" t="str">
        <f aca="false">IFERROR(INDEX('Test Details'!$H$2:$H$200,MATCH(ROWS($B$27:B34),'Test Details'!$J$2:$J$200,0)),"")</f>
        <v/>
      </c>
      <c r="D34" s="16" t="str">
        <f aca="false">IFERROR(INDEX('Test Details'!$I$2:$I$200,MATCH(ROWS($B$27:B34),'Test Details'!$J$2:$J$200,0)),"")</f>
        <v/>
      </c>
    </row>
    <row r="35" customFormat="false" ht="15" hidden="false" customHeight="false" outlineLevel="0" collapsed="false">
      <c r="A35" s="16" t="str">
        <f aca="false">IFERROR(INDEX('Test Details'!$B$2:$B$200,MATCH(ROWS($B$27:B35),'Test Details'!$J$2:$J$200,0)),"")</f>
        <v/>
      </c>
      <c r="B35" s="16" t="str">
        <f aca="false">IFERROR(INDEX('Test Details'!$C$2:$C$200,MATCH(ROWS($B$27:B35),'Test Details'!$J$2:$J$200,0)),"")</f>
        <v/>
      </c>
      <c r="C35" s="17" t="str">
        <f aca="false">IFERROR(INDEX('Test Details'!$H$2:$H$200,MATCH(ROWS($B$27:B35),'Test Details'!$J$2:$J$200,0)),"")</f>
        <v/>
      </c>
      <c r="D35" s="16" t="str">
        <f aca="false">IFERROR(INDEX('Test Details'!$I$2:$I$200,MATCH(ROWS($B$27:B35),'Test Details'!$J$2:$J$200,0)),"")</f>
        <v/>
      </c>
    </row>
    <row r="36" customFormat="false" ht="15" hidden="false" customHeight="false" outlineLevel="0" collapsed="false">
      <c r="A36" s="16" t="str">
        <f aca="false">IFERROR(INDEX('Test Details'!$B$2:$B$200,MATCH(ROWS($B$27:B36),'Test Details'!$J$2:$J$200,0)),"")</f>
        <v/>
      </c>
      <c r="B36" s="16" t="str">
        <f aca="false">IFERROR(INDEX('Test Details'!$C$2:$C$200,MATCH(ROWS($B$27:B36),'Test Details'!$J$2:$J$200,0)),"")</f>
        <v/>
      </c>
      <c r="C36" s="17" t="str">
        <f aca="false">IFERROR(INDEX('Test Details'!$H$2:$H$200,MATCH(ROWS($B$27:B36),'Test Details'!$J$2:$J$200,0)),"")</f>
        <v/>
      </c>
      <c r="D36" s="16" t="str">
        <f aca="false">IFERROR(INDEX('Test Details'!$I$2:$I$200,MATCH(ROWS($B$27:B36),'Test Details'!$J$2:$J$200,0)),"")</f>
        <v/>
      </c>
    </row>
    <row r="38" customFormat="false" ht="21.75" hidden="false" customHeight="true" outlineLevel="0" collapsed="false">
      <c r="A38" s="4" t="s">
        <v>43</v>
      </c>
      <c r="B38" s="4"/>
      <c r="C38" s="4"/>
      <c r="D38" s="4"/>
      <c r="E38" s="4"/>
      <c r="F38" s="4"/>
    </row>
  </sheetData>
  <mergeCells count="6">
    <mergeCell ref="A1:J1"/>
    <mergeCell ref="A7:J7"/>
    <mergeCell ref="A11:E11"/>
    <mergeCell ref="A18:E18"/>
    <mergeCell ref="A25:E25"/>
    <mergeCell ref="A38:F38"/>
  </mergeCells>
  <conditionalFormatting sqref="F9">
    <cfRule type="cellIs" priority="2" operator="greaterThanOrEqual" aboveAverage="0" equalAverage="0" bottom="0" percent="0" rank="0" text="" dxfId="0">
      <formula>0.9</formula>
    </cfRule>
    <cfRule type="cellIs" priority="3" operator="lessThan" aboveAverage="0" equalAverage="0" bottom="0" percent="0" rank="0" text="" dxfId="1">
      <formula>0.9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6"/>
    <col collapsed="false" customWidth="true" hidden="false" outlineLevel="0" max="4" min="4" style="0" width="38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42"/>
    <col collapsed="false" customWidth="true" hidden="false" outlineLevel="0" max="9" min="9" style="0" width="22"/>
    <col collapsed="false" customWidth="true" hidden="false" outlineLevel="0" max="10" min="10" style="0" width="26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18" t="s">
        <v>44</v>
      </c>
      <c r="B1" s="18" t="s">
        <v>40</v>
      </c>
      <c r="C1" s="18" t="s">
        <v>21</v>
      </c>
      <c r="D1" s="18" t="s">
        <v>45</v>
      </c>
      <c r="E1" s="18" t="s">
        <v>46</v>
      </c>
      <c r="F1" s="18" t="s">
        <v>19</v>
      </c>
      <c r="G1" s="18" t="s">
        <v>47</v>
      </c>
      <c r="H1" s="18" t="s">
        <v>41</v>
      </c>
      <c r="I1" s="18" t="s">
        <v>48</v>
      </c>
      <c r="J1" s="18" t="s">
        <v>49</v>
      </c>
      <c r="L1" s="19" t="s">
        <v>50</v>
      </c>
    </row>
    <row r="2" customFormat="false" ht="15" hidden="false" customHeight="false" outlineLevel="0" collapsed="false">
      <c r="A2" s="20" t="s">
        <v>51</v>
      </c>
      <c r="B2" s="21" t="s">
        <v>52</v>
      </c>
      <c r="C2" s="21" t="s">
        <v>28</v>
      </c>
      <c r="D2" s="22" t="s">
        <v>53</v>
      </c>
      <c r="E2" s="21" t="s">
        <v>35</v>
      </c>
      <c r="F2" s="21" t="s">
        <v>13</v>
      </c>
      <c r="G2" s="21" t="n">
        <v>2.3</v>
      </c>
      <c r="H2" s="22"/>
      <c r="I2" s="21"/>
      <c r="J2" s="21" t="str">
        <f aca="false">IF(F2="FAILED",COUNTIF($F$2:F2,"FAILED"),"")</f>
        <v/>
      </c>
      <c r="L2" s="23" t="s">
        <v>13</v>
      </c>
    </row>
    <row r="3" customFormat="false" ht="15" hidden="false" customHeight="false" outlineLevel="0" collapsed="false">
      <c r="A3" s="20" t="s">
        <v>54</v>
      </c>
      <c r="B3" s="21" t="s">
        <v>55</v>
      </c>
      <c r="C3" s="21" t="s">
        <v>28</v>
      </c>
      <c r="D3" s="22" t="s">
        <v>56</v>
      </c>
      <c r="E3" s="21" t="s">
        <v>35</v>
      </c>
      <c r="F3" s="21" t="s">
        <v>14</v>
      </c>
      <c r="G3" s="21" t="n">
        <v>1.8</v>
      </c>
      <c r="H3" s="22" t="s">
        <v>57</v>
      </c>
      <c r="I3" s="21" t="str">
        <f aca="false">HYPERLINK("screenshots/TC_002.png","View Image")</f>
        <v>View Image</v>
      </c>
      <c r="J3" s="21" t="n">
        <f aca="false">IF(F3="FAILED",COUNTIF($F$2:F3,"FAILED"),"")</f>
        <v>1</v>
      </c>
      <c r="L3" s="24" t="s">
        <v>14</v>
      </c>
    </row>
    <row r="4" customFormat="false" ht="15" hidden="false" customHeight="false" outlineLevel="0" collapsed="false">
      <c r="A4" s="20" t="s">
        <v>58</v>
      </c>
      <c r="B4" s="21" t="s">
        <v>59</v>
      </c>
      <c r="C4" s="21" t="s">
        <v>30</v>
      </c>
      <c r="D4" s="22" t="s">
        <v>60</v>
      </c>
      <c r="E4" s="21" t="s">
        <v>36</v>
      </c>
      <c r="F4" s="21" t="s">
        <v>61</v>
      </c>
      <c r="G4" s="21" t="n">
        <v>5.1</v>
      </c>
      <c r="H4" s="22" t="s">
        <v>62</v>
      </c>
      <c r="I4" s="21" t="str">
        <f aca="false">HYPERLINK("screenshots/TC_003_attempt1.png","View Image")</f>
        <v>View Image</v>
      </c>
      <c r="J4" s="21" t="str">
        <f aca="false">IF(F4="FAILED",COUNTIF($F$2:F4,"FAILED"),"")</f>
        <v/>
      </c>
      <c r="L4" s="25" t="s">
        <v>15</v>
      </c>
    </row>
    <row r="5" customFormat="false" ht="15" hidden="false" customHeight="false" outlineLevel="0" collapsed="false">
      <c r="A5" s="20" t="s">
        <v>63</v>
      </c>
      <c r="B5" s="21" t="s">
        <v>59</v>
      </c>
      <c r="C5" s="21" t="s">
        <v>30</v>
      </c>
      <c r="D5" s="22" t="s">
        <v>60</v>
      </c>
      <c r="E5" s="21" t="s">
        <v>36</v>
      </c>
      <c r="F5" s="21" t="s">
        <v>13</v>
      </c>
      <c r="G5" s="21" t="n">
        <v>4.9</v>
      </c>
      <c r="H5" s="22"/>
      <c r="I5" s="21"/>
      <c r="J5" s="21" t="str">
        <f aca="false">IF(F5="FAILED",COUNTIF($F$2:F5,"FAILED"),"")</f>
        <v/>
      </c>
      <c r="L5" s="26" t="s">
        <v>64</v>
      </c>
    </row>
    <row r="6" customFormat="false" ht="15" hidden="false" customHeight="false" outlineLevel="0" collapsed="false">
      <c r="A6" s="20" t="s">
        <v>65</v>
      </c>
      <c r="B6" s="21" t="s">
        <v>66</v>
      </c>
      <c r="C6" s="21" t="s">
        <v>31</v>
      </c>
      <c r="D6" s="22" t="s">
        <v>67</v>
      </c>
      <c r="E6" s="21" t="s">
        <v>37</v>
      </c>
      <c r="F6" s="21" t="s">
        <v>15</v>
      </c>
      <c r="G6" s="21" t="n">
        <v>0</v>
      </c>
      <c r="H6" s="22" t="s">
        <v>68</v>
      </c>
      <c r="I6" s="21"/>
      <c r="J6" s="21" t="str">
        <f aca="false">IF(F6="FAILED",COUNTIF($F$2:F6,"FAILED"),"")</f>
        <v/>
      </c>
    </row>
    <row r="7" customFormat="false" ht="15" hidden="false" customHeight="false" outlineLevel="0" collapsed="false">
      <c r="A7" s="20" t="s">
        <v>69</v>
      </c>
      <c r="B7" s="21" t="s">
        <v>70</v>
      </c>
      <c r="C7" s="21" t="s">
        <v>32</v>
      </c>
      <c r="D7" s="22" t="s">
        <v>71</v>
      </c>
      <c r="E7" s="21" t="s">
        <v>35</v>
      </c>
      <c r="F7" s="21" t="s">
        <v>13</v>
      </c>
      <c r="G7" s="21" t="n">
        <v>3.2</v>
      </c>
      <c r="H7" s="22"/>
      <c r="I7" s="21"/>
      <c r="J7" s="21" t="str">
        <f aca="false">IF(F7="FAILED",COUNTIF($F$2:F7,"FAILED"),"")</f>
        <v/>
      </c>
    </row>
    <row r="8" customFormat="false" ht="15" hidden="false" customHeight="false" outlineLevel="0" collapsed="false">
      <c r="A8" s="20" t="s">
        <v>72</v>
      </c>
      <c r="B8" s="21" t="s">
        <v>73</v>
      </c>
      <c r="C8" s="21" t="s">
        <v>30</v>
      </c>
      <c r="D8" s="22" t="s">
        <v>74</v>
      </c>
      <c r="E8" s="21" t="s">
        <v>35</v>
      </c>
      <c r="F8" s="21" t="s">
        <v>14</v>
      </c>
      <c r="G8" s="21" t="n">
        <v>2</v>
      </c>
      <c r="H8" s="22" t="s">
        <v>75</v>
      </c>
      <c r="I8" s="21" t="str">
        <f aca="false">HYPERLINK("screenshots/TC_006.png","View Image")</f>
        <v>View Image</v>
      </c>
      <c r="J8" s="21" t="n">
        <f aca="false">IF(F8="FAILED",COUNTIF($F$2:F8,"FAILED"),"")</f>
        <v>2</v>
      </c>
    </row>
    <row r="9" customFormat="false" ht="15" hidden="false" customHeight="false" outlineLevel="0" collapsed="false">
      <c r="A9" s="20" t="s">
        <v>76</v>
      </c>
      <c r="B9" s="21" t="s">
        <v>77</v>
      </c>
      <c r="C9" s="21" t="s">
        <v>31</v>
      </c>
      <c r="D9" s="22" t="s">
        <v>78</v>
      </c>
      <c r="E9" s="21" t="s">
        <v>37</v>
      </c>
      <c r="F9" s="21" t="s">
        <v>13</v>
      </c>
      <c r="G9" s="21" t="n">
        <v>4.4</v>
      </c>
      <c r="H9" s="22"/>
      <c r="I9" s="21"/>
      <c r="J9" s="21" t="str">
        <f aca="false">IF(F9="FAILED",COUNTIF($F$2:F9,"FAILED"),"")</f>
        <v/>
      </c>
    </row>
    <row r="10" customFormat="false" ht="15" hidden="false" customHeight="false" outlineLevel="0" collapsed="false">
      <c r="A10" s="20" t="s">
        <v>79</v>
      </c>
      <c r="B10" s="21" t="s">
        <v>80</v>
      </c>
      <c r="C10" s="21" t="s">
        <v>32</v>
      </c>
      <c r="D10" s="22" t="s">
        <v>81</v>
      </c>
      <c r="E10" s="21" t="s">
        <v>38</v>
      </c>
      <c r="F10" s="21" t="s">
        <v>13</v>
      </c>
      <c r="G10" s="21" t="n">
        <v>2.9</v>
      </c>
      <c r="H10" s="22"/>
      <c r="I10" s="21"/>
      <c r="J10" s="21" t="str">
        <f aca="false">IF(F10="FAILED",COUNTIF($F$2:F10,"FAILED"),"")</f>
        <v/>
      </c>
    </row>
    <row r="11" customFormat="false" ht="23.85" hidden="false" customHeight="false" outlineLevel="0" collapsed="false">
      <c r="A11" s="20" t="s">
        <v>82</v>
      </c>
      <c r="B11" s="21" t="s">
        <v>83</v>
      </c>
      <c r="C11" s="21" t="s">
        <v>28</v>
      </c>
      <c r="D11" s="22" t="s">
        <v>84</v>
      </c>
      <c r="E11" s="21" t="s">
        <v>36</v>
      </c>
      <c r="F11" s="21" t="s">
        <v>14</v>
      </c>
      <c r="G11" s="21" t="n">
        <v>15.2</v>
      </c>
      <c r="H11" s="22" t="s">
        <v>85</v>
      </c>
      <c r="I11" s="21" t="str">
        <f aca="false">HYPERLINK("screenshots/TC_009.png","View Image")</f>
        <v>View Image</v>
      </c>
      <c r="J11" s="21" t="n">
        <f aca="false">IF(F11="FAILED",COUNTIF($F$2:F11,"FAILED"),"")</f>
        <v>3</v>
      </c>
    </row>
  </sheetData>
  <conditionalFormatting sqref="F2:F200">
    <cfRule type="cellIs" priority="2" operator="equal" aboveAverage="0" equalAverage="0" bottom="0" percent="0" rank="0" text="" dxfId="2">
      <formula>"PASSED"</formula>
    </cfRule>
    <cfRule type="cellIs" priority="3" operator="equal" aboveAverage="0" equalAverage="0" bottom="0" percent="0" rank="0" text="" dxfId="3">
      <formula>"FAILED"</formula>
    </cfRule>
    <cfRule type="cellIs" priority="4" operator="equal" aboveAverage="0" equalAverage="0" bottom="0" percent="0" rank="0" text="" dxfId="4">
      <formula>"BLOCKED"</formula>
    </cfRule>
    <cfRule type="cellIs" priority="5" operator="equal" aboveAverage="0" equalAverage="0" bottom="0" percent="0" rank="0" text="" dxfId="5">
      <formula>"RETRY"</formula>
    </cfRule>
  </conditionalFormatting>
  <dataValidations count="1">
    <dataValidation allowBlank="true" errorStyle="stop" operator="between" showDropDown="false" showErrorMessage="false" showInputMessage="false" sqref="F2:F200" type="list">
      <formula1>"PASSED,FAILED,BLOCKED,RETRY"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2026-09-07T01:36:53Z</dcterms:created>
  <dc:creator>openpyxl</dc:creator>
  <dc:description/>
  <dc:language>en-US</dc:language>
  <cp:lastModifiedBy/>
  <dcterms:modified xsi:type="dcterms:W3CDTF">2026-09-07T01:36:56Z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